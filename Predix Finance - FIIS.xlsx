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 10\Documents\"/>
    </mc:Choice>
  </mc:AlternateContent>
  <xr:revisionPtr revIDLastSave="0" documentId="13_ncr:1_{25203163-7EA0-4DB5-B0BA-7DE5074F946B}" xr6:coauthVersionLast="47" xr6:coauthVersionMax="47" xr10:uidLastSave="{00000000-0000-0000-0000-000000000000}"/>
  <bookViews>
    <workbookView xWindow="-120" yWindow="-120" windowWidth="20730" windowHeight="11040" xr2:uid="{EF3548C7-D4D4-4023-9A0B-3FFFB342BF78}"/>
  </bookViews>
  <sheets>
    <sheet name="Predix" sheetId="1" r:id="rId1"/>
    <sheet name="Configuracao _Perfil_Investidor" sheetId="2" r:id="rId2"/>
    <sheet name="Grafico_Alocacao_dados" sheetId="3" r:id="rId3"/>
  </sheets>
  <definedNames>
    <definedName name="Aporte_mensal">Predix!$C$19</definedName>
    <definedName name="Capacidade_Total_Investimento">Predix!$G$14</definedName>
    <definedName name="Despesas">Predix!$C$15</definedName>
    <definedName name="Dividendos_carteira">Predix!$C$16</definedName>
    <definedName name="Patrimonio">Predix!$C$22</definedName>
    <definedName name="qtd_anos">Predix!$C$20</definedName>
    <definedName name="Renda_total">Predix!$C$14</definedName>
    <definedName name="Taxa_mensal">Predix!$C$21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5" i="1" l="1"/>
  <c r="E31" i="1"/>
  <c r="E29" i="1"/>
  <c r="E42" i="1" l="1"/>
  <c r="E41" i="1"/>
  <c r="E40" i="1"/>
  <c r="E39" i="1"/>
  <c r="E38" i="1"/>
  <c r="E43" i="1" s="1"/>
  <c r="E33" i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4" i="2"/>
  <c r="A3" i="3"/>
  <c r="A2" i="3"/>
  <c r="G14" i="1"/>
  <c r="G15" i="1" s="1"/>
  <c r="G16" i="1"/>
  <c r="C22" i="1"/>
  <c r="C23" i="1"/>
  <c r="F19" i="1"/>
  <c r="F20" i="1"/>
  <c r="F21" i="1"/>
  <c r="F22" i="1"/>
  <c r="F23" i="1"/>
  <c r="G19" i="1"/>
  <c r="G20" i="1"/>
  <c r="G21" i="1"/>
  <c r="G22" i="1"/>
  <c r="G23" i="1"/>
  <c r="E30" i="1"/>
  <c r="B3" i="3" s="1"/>
  <c r="B2" i="3"/>
  <c r="A5" i="2"/>
  <c r="A6" i="2"/>
  <c r="A7" i="2"/>
  <c r="A8" i="2"/>
  <c r="A9" i="2"/>
  <c r="A4" i="2"/>
  <c r="E26" i="1"/>
  <c r="G30" i="1" l="1"/>
  <c r="G29" i="1"/>
  <c r="G31" i="1" s="1"/>
  <c r="G42" i="1" l="1"/>
  <c r="G41" i="1"/>
  <c r="G40" i="1"/>
  <c r="G39" i="1"/>
  <c r="G38" i="1"/>
  <c r="G43" i="1" s="1"/>
</calcChain>
</file>

<file path=xl/sharedStrings.xml><?xml version="1.0" encoding="utf-8"?>
<sst xmlns="http://schemas.openxmlformats.org/spreadsheetml/2006/main" count="101" uniqueCount="45">
  <si>
    <t>Investimento Mensal</t>
  </si>
  <si>
    <t>Quantidade de Anos</t>
  </si>
  <si>
    <t>Patrimônio Acumulado</t>
  </si>
  <si>
    <t>Dividendos Mensais</t>
  </si>
  <si>
    <t>Previsões de Retorno</t>
  </si>
  <si>
    <t>2 anos</t>
  </si>
  <si>
    <t>5 anos</t>
  </si>
  <si>
    <t>20 anos</t>
  </si>
  <si>
    <t>10 anos</t>
  </si>
  <si>
    <t>30 anos</t>
  </si>
  <si>
    <t>Personalizar</t>
  </si>
  <si>
    <t>Renda Total (mensal)</t>
  </si>
  <si>
    <t>Despesas Totais (mensal)</t>
  </si>
  <si>
    <t>Capacidade de Investimento Mensal</t>
  </si>
  <si>
    <t>Índice de Poupança %</t>
  </si>
  <si>
    <t>Dividendos da Carteira</t>
  </si>
  <si>
    <t>Capacidade de Investimento  Total</t>
  </si>
  <si>
    <t>Sugestão Padrão de Investimento</t>
  </si>
  <si>
    <t xml:space="preserve">Aporte </t>
  </si>
  <si>
    <t>Taxa de Rendimento (mensal)</t>
  </si>
  <si>
    <t>PERFIL INVESTIDOR</t>
  </si>
  <si>
    <t>Valores</t>
  </si>
  <si>
    <t>Conservador</t>
  </si>
  <si>
    <t>Valor Mensal Aportado</t>
  </si>
  <si>
    <t>Classes de Investimento</t>
  </si>
  <si>
    <t>Renda Fixa</t>
  </si>
  <si>
    <t>Renda Variável</t>
  </si>
  <si>
    <t>Percentual de Alocação</t>
  </si>
  <si>
    <t>Perfil Investidor</t>
  </si>
  <si>
    <t>%</t>
  </si>
  <si>
    <t>Moderado</t>
  </si>
  <si>
    <t>Agressivo</t>
  </si>
  <si>
    <t>Chave</t>
  </si>
  <si>
    <t>Classe</t>
  </si>
  <si>
    <t>Alocação</t>
  </si>
  <si>
    <t>Tipo de FII</t>
  </si>
  <si>
    <t>Tijolo</t>
  </si>
  <si>
    <t>Papel</t>
  </si>
  <si>
    <t>FOFs</t>
  </si>
  <si>
    <t>Desenvolvimento</t>
  </si>
  <si>
    <t>Híbrido</t>
  </si>
  <si>
    <t>ALOCAÇÃO POR TIPO DE FII</t>
  </si>
  <si>
    <t>% da Renda Variável destinada a FIIs</t>
  </si>
  <si>
    <t>Valor destinado a FIIs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</si>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</sst>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2"/>
      <color theme="0"/>
      <name val="Poppins Black"/>
    </font>
    <font>
      <b/>
      <sz val="12"/>
      <color theme="3"/>
      <name val="Poppins Black"/>
    </font>
    <font>
      <b/>
      <sz val="12"/>
      <color theme="0"/>
      <name val="Poppins ExtraBold"/>
    </font>
    <font>
      <b/>
      <sz val="9"/>
      <color theme="0"/>
      <name val="Poppins ExtraBold"/>
    </font>
    <font>
      <sz val="12"/>
      <color rgb="FF0061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2"/>
      <color theme="0"/>
      <name val="Poppins ExtraBold"/>
    </font>
  </fonts>
  <fills count="1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D9EAD3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9" tint="0.59996337778862885"/>
      </right>
      <top style="medium">
        <color indexed="64"/>
      </top>
      <bottom style="medium">
        <color theme="9" tint="0.59996337778862885"/>
      </bottom>
      <diagonal/>
    </border>
    <border>
      <left style="medium">
        <color theme="9" tint="0.59996337778862885"/>
      </left>
      <right style="medium">
        <color indexed="64"/>
      </right>
      <top style="medium">
        <color indexed="64"/>
      </top>
      <bottom style="medium">
        <color theme="9" tint="0.59996337778862885"/>
      </bottom>
      <diagonal/>
    </border>
    <border>
      <left style="medium">
        <color indexed="64"/>
      </left>
      <right style="medium">
        <color theme="9" tint="0.59996337778862885"/>
      </right>
      <top style="medium">
        <color theme="9" tint="0.59996337778862885"/>
      </top>
      <bottom style="medium">
        <color theme="9" tint="0.59996337778862885"/>
      </bottom>
      <diagonal/>
    </border>
    <border>
      <left style="medium">
        <color theme="9" tint="0.59996337778862885"/>
      </left>
      <right style="medium">
        <color indexed="64"/>
      </right>
      <top style="medium">
        <color theme="9" tint="0.59996337778862885"/>
      </top>
      <bottom style="medium">
        <color theme="9" tint="0.59996337778862885"/>
      </bottom>
      <diagonal/>
    </border>
    <border>
      <left style="medium">
        <color indexed="64"/>
      </left>
      <right style="medium">
        <color theme="9" tint="0.59996337778862885"/>
      </right>
      <top style="medium">
        <color theme="9" tint="0.59996337778862885"/>
      </top>
      <bottom style="medium">
        <color indexed="64"/>
      </bottom>
      <diagonal/>
    </border>
    <border>
      <left style="medium">
        <color theme="9" tint="0.59996337778862885"/>
      </left>
      <right style="medium">
        <color indexed="64"/>
      </right>
      <top style="medium">
        <color theme="9" tint="0.59996337778862885"/>
      </top>
      <bottom style="medium">
        <color indexed="64"/>
      </bottom>
      <diagonal/>
    </border>
    <border>
      <left style="medium">
        <color theme="9" tint="0.59996337778862885"/>
      </left>
      <right style="medium">
        <color theme="9" tint="0.59996337778862885"/>
      </right>
      <top style="medium">
        <color indexed="64"/>
      </top>
      <bottom style="medium">
        <color theme="9" tint="0.59996337778862885"/>
      </bottom>
      <diagonal/>
    </border>
    <border>
      <left style="medium">
        <color theme="9" tint="0.59996337778862885"/>
      </left>
      <right style="medium">
        <color theme="9" tint="0.59996337778862885"/>
      </right>
      <top style="medium">
        <color theme="9" tint="0.59996337778862885"/>
      </top>
      <bottom style="medium">
        <color theme="9" tint="0.59996337778862885"/>
      </bottom>
      <diagonal/>
    </border>
    <border>
      <left style="medium">
        <color theme="9" tint="0.59996337778862885"/>
      </left>
      <right style="medium">
        <color theme="9" tint="0.59996337778862885"/>
      </right>
      <top style="medium">
        <color theme="9" tint="0.59996337778862885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theme="9" tint="0.59996337778862885"/>
      </left>
      <right style="medium">
        <color indexed="64"/>
      </right>
      <top style="medium">
        <color theme="9" tint="0.59996337778862885"/>
      </top>
      <bottom/>
      <diagonal/>
    </border>
    <border>
      <left/>
      <right style="medium">
        <color theme="9" tint="0.59996337778862885"/>
      </right>
      <top/>
      <bottom/>
      <diagonal/>
    </border>
    <border>
      <left/>
      <right style="medium">
        <color theme="9" tint="0.59996337778862885"/>
      </right>
      <top style="medium">
        <color indexed="64"/>
      </top>
      <bottom/>
      <diagonal/>
    </border>
    <border>
      <left style="medium">
        <color theme="9" tint="0.59996337778862885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theme="9" tint="0.59996337778862885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548235"/>
      </top>
      <bottom style="medium">
        <color indexed="64"/>
      </bottom>
      <diagonal/>
    </border>
    <border>
      <left/>
      <right/>
      <top style="thin">
        <color rgb="FF548235"/>
      </top>
      <bottom style="medium">
        <color indexed="64"/>
      </bottom>
      <diagonal/>
    </border>
    <border>
      <left/>
      <right style="medium">
        <color indexed="64"/>
      </right>
      <top style="thin">
        <color rgb="FF548235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7" fillId="5" borderId="0" applyNumberFormat="0" applyBorder="0" applyAlignment="0" applyProtection="0"/>
  </cellStyleXfs>
  <cellXfs count="96">
    <xf numFmtId="0" fontId="0" fillId="0" borderId="0" xfId="0"/>
    <xf numFmtId="0" fontId="5" fillId="3" borderId="4" xfId="0" applyFont="1" applyFill="1" applyBorder="1"/>
    <xf numFmtId="0" fontId="5" fillId="3" borderId="6" xfId="0" applyFont="1" applyFill="1" applyBorder="1"/>
    <xf numFmtId="0" fontId="6" fillId="4" borderId="6" xfId="0" applyFont="1" applyFill="1" applyBorder="1"/>
    <xf numFmtId="0" fontId="6" fillId="4" borderId="8" xfId="0" applyFont="1" applyFill="1" applyBorder="1"/>
    <xf numFmtId="0" fontId="3" fillId="3" borderId="7" xfId="0" applyFont="1" applyFill="1" applyBorder="1" applyAlignment="1">
      <alignment horizontal="center" vertical="center"/>
    </xf>
    <xf numFmtId="10" fontId="3" fillId="3" borderId="7" xfId="1" applyNumberFormat="1" applyFont="1" applyFill="1" applyBorder="1" applyAlignment="1">
      <alignment horizontal="center" vertical="center"/>
    </xf>
    <xf numFmtId="0" fontId="4" fillId="3" borderId="0" xfId="0" applyFont="1" applyFill="1"/>
    <xf numFmtId="0" fontId="0" fillId="3" borderId="6" xfId="0" applyFill="1" applyBorder="1"/>
    <xf numFmtId="0" fontId="0" fillId="3" borderId="8" xfId="0" applyFill="1" applyBorder="1"/>
    <xf numFmtId="10" fontId="3" fillId="3" borderId="9" xfId="1" applyNumberFormat="1" applyFont="1" applyFill="1" applyBorder="1" applyAlignment="1">
      <alignment horizontal="center" vertical="center"/>
    </xf>
    <xf numFmtId="0" fontId="8" fillId="2" borderId="13" xfId="2" applyFont="1" applyFill="1" applyBorder="1" applyAlignment="1">
      <alignment horizontal="left" vertical="center"/>
    </xf>
    <xf numFmtId="0" fontId="9" fillId="2" borderId="3" xfId="2" applyFont="1" applyFill="1" applyBorder="1" applyAlignment="1">
      <alignment horizontal="left"/>
    </xf>
    <xf numFmtId="0" fontId="9" fillId="2" borderId="13" xfId="2" applyFont="1" applyFill="1" applyBorder="1" applyAlignment="1">
      <alignment horizontal="left"/>
    </xf>
    <xf numFmtId="0" fontId="10" fillId="2" borderId="2" xfId="2" applyFont="1" applyFill="1" applyBorder="1" applyAlignment="1">
      <alignment horizontal="left" vertical="center"/>
    </xf>
    <xf numFmtId="0" fontId="11" fillId="2" borderId="13" xfId="2" applyFont="1" applyFill="1" applyBorder="1" applyAlignment="1">
      <alignment horizontal="left" vertical="center"/>
    </xf>
    <xf numFmtId="8" fontId="3" fillId="4" borderId="7" xfId="0" applyNumberFormat="1" applyFont="1" applyFill="1" applyBorder="1" applyAlignment="1">
      <alignment horizontal="left" vertical="center"/>
    </xf>
    <xf numFmtId="8" fontId="3" fillId="4" borderId="9" xfId="0" applyNumberFormat="1" applyFont="1" applyFill="1" applyBorder="1" applyAlignment="1">
      <alignment horizontal="left" vertical="center"/>
    </xf>
    <xf numFmtId="164" fontId="3" fillId="3" borderId="5" xfId="0" applyNumberFormat="1" applyFont="1" applyFill="1" applyBorder="1" applyAlignment="1">
      <alignment horizontal="left" vertical="center"/>
    </xf>
    <xf numFmtId="164" fontId="3" fillId="3" borderId="7" xfId="0" applyNumberFormat="1" applyFont="1" applyFill="1" applyBorder="1" applyAlignment="1">
      <alignment horizontal="left" vertical="center"/>
    </xf>
    <xf numFmtId="0" fontId="10" fillId="2" borderId="13" xfId="2" applyFont="1" applyFill="1" applyBorder="1" applyAlignment="1">
      <alignment vertical="center"/>
    </xf>
    <xf numFmtId="0" fontId="3" fillId="4" borderId="16" xfId="0" applyFont="1" applyFill="1" applyBorder="1" applyAlignment="1">
      <alignment horizontal="left"/>
    </xf>
    <xf numFmtId="0" fontId="3" fillId="4" borderId="21" xfId="0" applyFont="1" applyFill="1" applyBorder="1" applyAlignment="1">
      <alignment horizontal="left"/>
    </xf>
    <xf numFmtId="9" fontId="0" fillId="0" borderId="0" xfId="1" applyFont="1"/>
    <xf numFmtId="9" fontId="0" fillId="0" borderId="0" xfId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22" xfId="0" applyBorder="1"/>
    <xf numFmtId="9" fontId="0" fillId="0" borderId="22" xfId="1" applyFont="1" applyBorder="1" applyAlignment="1">
      <alignment horizontal="center"/>
    </xf>
    <xf numFmtId="164" fontId="3" fillId="3" borderId="20" xfId="1" applyNumberFormat="1" applyFont="1" applyFill="1" applyBorder="1" applyAlignment="1">
      <alignment horizontal="center" vertical="center"/>
    </xf>
    <xf numFmtId="8" fontId="3" fillId="4" borderId="9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22" xfId="0" applyBorder="1" applyAlignment="1">
      <alignment horizontal="left"/>
    </xf>
    <xf numFmtId="9" fontId="0" fillId="0" borderId="22" xfId="0" applyNumberFormat="1" applyBorder="1"/>
    <xf numFmtId="0" fontId="10" fillId="2" borderId="2" xfId="2" applyFont="1" applyFill="1" applyBorder="1" applyAlignment="1">
      <alignment horizontal="left" vertical="center"/>
    </xf>
    <xf numFmtId="0" fontId="10" fillId="2" borderId="13" xfId="2" applyFont="1" applyFill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3" fillId="3" borderId="14" xfId="0" applyFont="1" applyFill="1" applyBorder="1" applyAlignment="1">
      <alignment horizontal="left"/>
    </xf>
    <xf numFmtId="0" fontId="3" fillId="3" borderId="19" xfId="0" applyFont="1" applyFill="1" applyBorder="1" applyAlignment="1">
      <alignment horizontal="left"/>
    </xf>
    <xf numFmtId="0" fontId="3" fillId="3" borderId="4" xfId="0" applyFont="1" applyFill="1" applyBorder="1"/>
    <xf numFmtId="0" fontId="0" fillId="4" borderId="15" xfId="0" applyFill="1" applyBorder="1" applyAlignment="1">
      <alignment horizontal="left"/>
    </xf>
    <xf numFmtId="0" fontId="0" fillId="4" borderId="18" xfId="0" applyFill="1" applyBorder="1" applyAlignment="1">
      <alignment horizontal="left"/>
    </xf>
    <xf numFmtId="9" fontId="3" fillId="4" borderId="17" xfId="1" applyFont="1" applyFill="1" applyBorder="1" applyAlignment="1">
      <alignment horizontal="center" vertical="center"/>
    </xf>
    <xf numFmtId="8" fontId="0" fillId="4" borderId="7" xfId="0" applyNumberFormat="1" applyFill="1" applyBorder="1" applyAlignment="1">
      <alignment horizontal="left" vertical="center"/>
    </xf>
    <xf numFmtId="0" fontId="5" fillId="4" borderId="4" xfId="0" applyFont="1" applyFill="1" applyBorder="1" applyAlignment="1">
      <alignment vertical="center"/>
    </xf>
    <xf numFmtId="8" fontId="0" fillId="4" borderId="10" xfId="0" applyNumberFormat="1" applyFill="1" applyBorder="1" applyAlignment="1">
      <alignment horizontal="left" vertical="center"/>
    </xf>
    <xf numFmtId="8" fontId="0" fillId="4" borderId="5" xfId="0" applyNumberFormat="1" applyFill="1" applyBorder="1" applyAlignment="1">
      <alignment horizontal="left" vertical="center"/>
    </xf>
    <xf numFmtId="0" fontId="5" fillId="4" borderId="6" xfId="0" applyFont="1" applyFill="1" applyBorder="1" applyAlignment="1">
      <alignment vertical="center"/>
    </xf>
    <xf numFmtId="8" fontId="0" fillId="4" borderId="11" xfId="0" applyNumberFormat="1" applyFill="1" applyBorder="1" applyAlignment="1">
      <alignment horizontal="left" vertical="center"/>
    </xf>
    <xf numFmtId="0" fontId="5" fillId="4" borderId="8" xfId="0" applyFont="1" applyFill="1" applyBorder="1" applyAlignment="1">
      <alignment vertical="center"/>
    </xf>
    <xf numFmtId="8" fontId="0" fillId="4" borderId="12" xfId="0" applyNumberFormat="1" applyFill="1" applyBorder="1" applyAlignment="1">
      <alignment horizontal="left" vertical="center"/>
    </xf>
    <xf numFmtId="8" fontId="0" fillId="4" borderId="9" xfId="0" applyNumberFormat="1" applyFill="1" applyBorder="1" applyAlignment="1">
      <alignment horizontal="left" vertical="center"/>
    </xf>
    <xf numFmtId="0" fontId="16" fillId="2" borderId="2" xfId="2" applyFont="1" applyFill="1" applyBorder="1" applyAlignment="1">
      <alignment horizontal="left" vertical="center"/>
    </xf>
    <xf numFmtId="0" fontId="12" fillId="5" borderId="14" xfId="3" applyFont="1" applyBorder="1" applyAlignment="1">
      <alignment horizontal="center"/>
    </xf>
    <xf numFmtId="0" fontId="12" fillId="5" borderId="23" xfId="3" applyFont="1" applyBorder="1" applyAlignment="1">
      <alignment horizontal="center"/>
    </xf>
    <xf numFmtId="0" fontId="7" fillId="5" borderId="24" xfId="3" applyBorder="1"/>
    <xf numFmtId="0" fontId="0" fillId="0" borderId="15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25" xfId="0" applyBorder="1"/>
    <xf numFmtId="0" fontId="0" fillId="0" borderId="15" xfId="0" applyBorder="1"/>
    <xf numFmtId="0" fontId="0" fillId="0" borderId="0" xfId="0" applyBorder="1"/>
    <xf numFmtId="0" fontId="3" fillId="0" borderId="1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5" xfId="0" applyFont="1" applyBorder="1"/>
    <xf numFmtId="9" fontId="0" fillId="0" borderId="0" xfId="1" applyFont="1" applyBorder="1" applyAlignment="1">
      <alignment horizontal="center"/>
    </xf>
    <xf numFmtId="164" fontId="0" fillId="0" borderId="25" xfId="0" applyNumberFormat="1" applyBorder="1" applyAlignment="1">
      <alignment horizontal="left"/>
    </xf>
    <xf numFmtId="164" fontId="0" fillId="4" borderId="27" xfId="0" applyNumberFormat="1" applyFill="1" applyBorder="1" applyAlignment="1">
      <alignment horizontal="left"/>
    </xf>
    <xf numFmtId="0" fontId="13" fillId="6" borderId="14" xfId="0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0" fontId="13" fillId="6" borderId="24" xfId="0" applyFont="1" applyFill="1" applyBorder="1" applyAlignment="1">
      <alignment vertical="center"/>
    </xf>
    <xf numFmtId="0" fontId="3" fillId="7" borderId="15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9" fontId="3" fillId="7" borderId="0" xfId="0" applyNumberFormat="1" applyFont="1" applyFill="1" applyBorder="1" applyAlignment="1">
      <alignment horizontal="center" vertical="center"/>
    </xf>
    <xf numFmtId="0" fontId="14" fillId="7" borderId="25" xfId="0" applyFont="1" applyFill="1" applyBorder="1" applyAlignment="1">
      <alignment vertical="center"/>
    </xf>
    <xf numFmtId="0" fontId="3" fillId="7" borderId="16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164" fontId="3" fillId="7" borderId="26" xfId="0" applyNumberFormat="1" applyFont="1" applyFill="1" applyBorder="1" applyAlignment="1">
      <alignment horizontal="center" vertical="center"/>
    </xf>
    <xf numFmtId="0" fontId="14" fillId="7" borderId="27" xfId="0" applyFont="1" applyFill="1" applyBorder="1" applyAlignment="1">
      <alignment vertical="center"/>
    </xf>
    <xf numFmtId="0" fontId="15" fillId="8" borderId="14" xfId="0" applyFont="1" applyFill="1" applyBorder="1" applyAlignment="1">
      <alignment horizontal="center" vertical="center"/>
    </xf>
    <xf numFmtId="0" fontId="15" fillId="8" borderId="23" xfId="0" applyFont="1" applyFill="1" applyBorder="1" applyAlignment="1">
      <alignment horizontal="center" vertical="center"/>
    </xf>
    <xf numFmtId="0" fontId="15" fillId="8" borderId="24" xfId="0" applyFont="1" applyFill="1" applyBorder="1" applyAlignment="1">
      <alignment horizontal="center" vertical="center"/>
    </xf>
    <xf numFmtId="0" fontId="0" fillId="9" borderId="0" xfId="0" applyFont="1" applyFill="1" applyBorder="1" applyAlignment="1">
      <alignment vertical="center"/>
    </xf>
    <xf numFmtId="9" fontId="0" fillId="9" borderId="0" xfId="0" applyNumberFormat="1" applyFont="1" applyFill="1" applyBorder="1" applyAlignment="1">
      <alignment horizontal="center" vertical="center"/>
    </xf>
    <xf numFmtId="0" fontId="3" fillId="10" borderId="29" xfId="0" applyFont="1" applyFill="1" applyBorder="1" applyAlignment="1">
      <alignment vertical="center"/>
    </xf>
    <xf numFmtId="9" fontId="3" fillId="10" borderId="29" xfId="0" applyNumberFormat="1" applyFont="1" applyFill="1" applyBorder="1" applyAlignment="1">
      <alignment horizontal="center" vertical="center"/>
    </xf>
    <xf numFmtId="164" fontId="0" fillId="9" borderId="25" xfId="0" applyNumberFormat="1" applyFont="1" applyFill="1" applyBorder="1" applyAlignment="1">
      <alignment horizontal="left" vertical="center"/>
    </xf>
    <xf numFmtId="164" fontId="3" fillId="10" borderId="30" xfId="0" applyNumberFormat="1" applyFont="1" applyFill="1" applyBorder="1" applyAlignment="1">
      <alignment horizontal="left" vertical="center"/>
    </xf>
    <xf numFmtId="0" fontId="0" fillId="9" borderId="15" xfId="0" applyFont="1" applyFill="1" applyBorder="1" applyAlignment="1">
      <alignment horizontal="center" vertical="center"/>
    </xf>
    <xf numFmtId="0" fontId="0" fillId="9" borderId="0" xfId="0" applyFont="1" applyFill="1" applyBorder="1" applyAlignment="1">
      <alignment horizontal="center" vertical="center"/>
    </xf>
    <xf numFmtId="0" fontId="3" fillId="10" borderId="28" xfId="0" applyFont="1" applyFill="1" applyBorder="1" applyAlignment="1">
      <alignment horizontal="center" vertical="center"/>
    </xf>
    <xf numFmtId="0" fontId="3" fillId="10" borderId="29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9" fontId="3" fillId="4" borderId="26" xfId="0" applyNumberFormat="1" applyFont="1" applyFill="1" applyBorder="1" applyAlignment="1">
      <alignment horizontal="center"/>
    </xf>
  </cellXfs>
  <cellStyles count="4">
    <cellStyle name="Bom" xfId="3" builtinId="26"/>
    <cellStyle name="Normal" xfId="0" builtinId="0"/>
    <cellStyle name="Porcentagem" xfId="1" builtinId="5"/>
    <cellStyle name="Título 2" xfId="2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Alocação da Carteira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Grafico_Alocacao_dados!$B$1</c:f>
              <c:strCache>
                <c:ptCount val="1"/>
                <c:pt idx="0">
                  <c:v>Alocação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Grafico_Alocacao_dados!$A$2:$A$3</c:f>
              <c:strCache>
                <c:ptCount val="2"/>
                <c:pt idx="0">
                  <c:v>Renda Fixa</c:v>
                </c:pt>
                <c:pt idx="1">
                  <c:v>Renda Variável</c:v>
                </c:pt>
              </c:strCache>
            </c:strRef>
          </c:cat>
          <c:val>
            <c:numRef>
              <c:f>Grafico_Alocacao_dados!$B$2:$B$3</c:f>
              <c:numCache>
                <c:formatCode>0%</c:formatCode>
                <c:ptCount val="2"/>
                <c:pt idx="0">
                  <c:v>0.8</c:v>
                </c:pt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D-400A-8B71-AA0D1534B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Alocação em FIIs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Grafico_Alocacao_dados!$E$1</c:f>
              <c:strCache>
                <c:ptCount val="1"/>
                <c:pt idx="0">
                  <c:v>Percentual de Alocação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28B-41AC-9D03-A5707C7528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28B-41AC-9D03-A5707C7528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28B-41AC-9D03-A5707C7528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28B-41AC-9D03-A5707C7528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28B-41AC-9D03-A5707C7528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Grafico_Alocacao_dados!$D$2:$D$6</c:f>
              <c:strCache>
                <c:ptCount val="5"/>
                <c:pt idx="0">
                  <c:v>Tijolo</c:v>
                </c:pt>
                <c:pt idx="1">
                  <c:v>Papel</c:v>
                </c:pt>
                <c:pt idx="2">
                  <c:v>FOFs</c:v>
                </c:pt>
                <c:pt idx="3">
                  <c:v>Desenvolvimento</c:v>
                </c:pt>
                <c:pt idx="4">
                  <c:v>Híbrido</c:v>
                </c:pt>
              </c:strCache>
            </c:strRef>
          </c:cat>
          <c:val>
            <c:numRef>
              <c:f>Grafico_Alocacao_dados!$E$2:$E$6</c:f>
              <c:numCache>
                <c:formatCode>0%</c:formatCode>
                <c:ptCount val="5"/>
                <c:pt idx="0">
                  <c:v>0.3</c:v>
                </c:pt>
                <c:pt idx="1">
                  <c:v>0.35</c:v>
                </c:pt>
                <c:pt idx="2">
                  <c:v>0.2</c:v>
                </c:pt>
                <c:pt idx="3">
                  <c:v>0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28B-41AC-9D03-A5707C752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4</xdr:rowOff>
    </xdr:from>
    <xdr:to>
      <xdr:col>7</xdr:col>
      <xdr:colOff>834975</xdr:colOff>
      <xdr:row>11</xdr:row>
      <xdr:rowOff>192769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CC0E308-2187-9CA3-2098-592D055F4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"/>
          <a:ext cx="9036000" cy="2288265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43</xdr:row>
      <xdr:rowOff>123825</xdr:rowOff>
    </xdr:from>
    <xdr:to>
      <xdr:col>4</xdr:col>
      <xdr:colOff>895350</xdr:colOff>
      <xdr:row>60</xdr:row>
      <xdr:rowOff>171450</xdr:rowOff>
    </xdr:to>
    <xdr:graphicFrame macro="">
      <xdr:nvGraphicFramePr>
        <xdr:cNvPr id="8" name="Alocação da Carteira">
          <a:extLst>
            <a:ext uri="{FF2B5EF4-FFF2-40B4-BE49-F238E27FC236}">
              <a16:creationId xmlns:a16="http://schemas.microsoft.com/office/drawing/2014/main" id="{B1200E23-CB56-96EC-F8B8-E314F10F3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942975</xdr:colOff>
      <xdr:row>43</xdr:row>
      <xdr:rowOff>119061</xdr:rowOff>
    </xdr:from>
    <xdr:to>
      <xdr:col>7</xdr:col>
      <xdr:colOff>809625</xdr:colOff>
      <xdr:row>60</xdr:row>
      <xdr:rowOff>161925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0E2F02DE-306A-DDA4-5557-9169BCF9F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612247-C708-4CCE-B91B-14DED238BF97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70CA0-CE5D-4FF4-B1E5-20C3DF6C3504}">
  <dimension ref="A12:M67"/>
  <sheetViews>
    <sheetView showGridLines="0" tabSelected="1" topLeftCell="A49" workbookViewId="0">
      <selection activeCell="H9" sqref="H9"/>
    </sheetView>
  </sheetViews>
  <sheetFormatPr defaultColWidth="0" defaultRowHeight="15" x14ac:dyDescent="0.25"/>
  <cols>
    <col min="1" max="1" width="3" bestFit="1" customWidth="1"/>
    <col min="2" max="2" width="32.85546875" bestFit="1" customWidth="1"/>
    <col min="3" max="3" width="14.85546875" customWidth="1"/>
    <col min="4" max="4" width="5.7109375" customWidth="1"/>
    <col min="5" max="5" width="26.5703125" bestFit="1" customWidth="1"/>
    <col min="6" max="6" width="20.85546875" customWidth="1"/>
    <col min="7" max="7" width="19.140625" bestFit="1" customWidth="1"/>
    <col min="8" max="8" width="16.7109375" customWidth="1"/>
    <col min="9" max="9" width="0.28515625" customWidth="1"/>
    <col min="10" max="12" width="9.140625" hidden="1" customWidth="1"/>
    <col min="13" max="13" width="8.42578125" hidden="1" customWidth="1"/>
    <col min="14" max="16384" width="9.140625" hidden="1"/>
  </cols>
  <sheetData>
    <row r="12" spans="2:7" ht="15.75" thickBot="1" x14ac:dyDescent="0.3"/>
    <row r="13" spans="2:7" ht="30" customHeight="1" thickBot="1" x14ac:dyDescent="0.3">
      <c r="B13" s="14" t="s">
        <v>10</v>
      </c>
      <c r="C13" s="11"/>
      <c r="E13" s="35" t="s">
        <v>13</v>
      </c>
      <c r="F13" s="36"/>
      <c r="G13" s="20"/>
    </row>
    <row r="14" spans="2:7" ht="15.75" thickBot="1" x14ac:dyDescent="0.3">
      <c r="B14" s="40" t="s">
        <v>11</v>
      </c>
      <c r="C14" s="18">
        <v>9000</v>
      </c>
      <c r="E14" s="38" t="s">
        <v>16</v>
      </c>
      <c r="F14" s="39"/>
      <c r="G14" s="28">
        <f>Renda_total-Despesas</f>
        <v>7000</v>
      </c>
    </row>
    <row r="15" spans="2:7" ht="15.75" thickBot="1" x14ac:dyDescent="0.3">
      <c r="B15" s="8" t="s">
        <v>12</v>
      </c>
      <c r="C15" s="19">
        <v>2000</v>
      </c>
      <c r="E15" s="41" t="s">
        <v>14</v>
      </c>
      <c r="F15" s="42"/>
      <c r="G15" s="43">
        <f>Capacidade_Total_Investimento/Renda_total</f>
        <v>0.77777777777777779</v>
      </c>
    </row>
    <row r="16" spans="2:7" ht="15.75" thickBot="1" x14ac:dyDescent="0.3">
      <c r="B16" s="9" t="s">
        <v>15</v>
      </c>
      <c r="C16" s="10">
        <v>0.01</v>
      </c>
      <c r="E16" s="21" t="s">
        <v>17</v>
      </c>
      <c r="F16" s="22"/>
      <c r="G16" s="29">
        <f>Renda_total*30%</f>
        <v>2700</v>
      </c>
    </row>
    <row r="17" spans="2:7" ht="15.75" thickBot="1" x14ac:dyDescent="0.3"/>
    <row r="18" spans="2:7" ht="30" customHeight="1" thickBot="1" x14ac:dyDescent="0.7">
      <c r="B18" s="53" t="s">
        <v>0</v>
      </c>
      <c r="C18" s="12"/>
      <c r="E18" s="14" t="s">
        <v>4</v>
      </c>
      <c r="F18" s="13"/>
      <c r="G18" s="15" t="s">
        <v>3</v>
      </c>
    </row>
    <row r="19" spans="2:7" ht="16.5" thickBot="1" x14ac:dyDescent="0.3">
      <c r="B19" s="1" t="s">
        <v>18</v>
      </c>
      <c r="C19" s="18">
        <v>7000</v>
      </c>
      <c r="E19" s="45" t="s">
        <v>5</v>
      </c>
      <c r="F19" s="46">
        <f>FV($C$21,$A33*12,-$C$19)</f>
        <v>188814.25397234049</v>
      </c>
      <c r="G19" s="47">
        <f>F19*Dividendos_carteira</f>
        <v>1888.142539723405</v>
      </c>
    </row>
    <row r="20" spans="2:7" ht="16.5" thickBot="1" x14ac:dyDescent="0.3">
      <c r="B20" s="2" t="s">
        <v>1</v>
      </c>
      <c r="C20" s="5">
        <v>5</v>
      </c>
      <c r="E20" s="48" t="s">
        <v>6</v>
      </c>
      <c r="F20" s="49">
        <f>FV($C$21,$A34*12,-$C$19)</f>
        <v>571687.68899486389</v>
      </c>
      <c r="G20" s="44">
        <f>F20*Dividendos_carteira</f>
        <v>5716.8768899486386</v>
      </c>
    </row>
    <row r="21" spans="2:7" ht="16.5" thickBot="1" x14ac:dyDescent="0.3">
      <c r="B21" s="2" t="s">
        <v>19</v>
      </c>
      <c r="C21" s="6">
        <v>0.01</v>
      </c>
      <c r="E21" s="48" t="s">
        <v>8</v>
      </c>
      <c r="F21" s="49">
        <f>FV($C$21,$A35*12,-$C$19)</f>
        <v>1610270.8262015688</v>
      </c>
      <c r="G21" s="44">
        <f>F21*Dividendos_carteira</f>
        <v>16102.708262015689</v>
      </c>
    </row>
    <row r="22" spans="2:7" ht="16.5" thickBot="1" x14ac:dyDescent="0.3">
      <c r="B22" s="3" t="s">
        <v>2</v>
      </c>
      <c r="C22" s="16">
        <f>FV(Taxa_mensal,qtd_anos*12,-Aporte_mensal)</f>
        <v>571687.68899486389</v>
      </c>
      <c r="E22" s="48" t="s">
        <v>7</v>
      </c>
      <c r="F22" s="49">
        <f>FV($C$21,$A36*12,-$C$19)</f>
        <v>6924787.5577115407</v>
      </c>
      <c r="G22" s="44">
        <f>F22*Dividendos_carteira</f>
        <v>69247.87557711541</v>
      </c>
    </row>
    <row r="23" spans="2:7" ht="16.5" thickBot="1" x14ac:dyDescent="0.3">
      <c r="B23" s="4" t="s">
        <v>3</v>
      </c>
      <c r="C23" s="17">
        <f>C22*Dividendos_carteira</f>
        <v>5716.8768899486386</v>
      </c>
      <c r="E23" s="50" t="s">
        <v>9</v>
      </c>
      <c r="F23" s="51">
        <f>FV($C$21,$A37*12,-$C$19)</f>
        <v>24464748.929379545</v>
      </c>
      <c r="G23" s="52">
        <f>F23*Dividendos_carteira</f>
        <v>244647.48929379546</v>
      </c>
    </row>
    <row r="24" spans="2:7" ht="15.75" thickBot="1" x14ac:dyDescent="0.3"/>
    <row r="25" spans="2:7" ht="15.75" x14ac:dyDescent="0.25">
      <c r="B25" s="54" t="s">
        <v>20</v>
      </c>
      <c r="C25" s="55"/>
      <c r="D25" s="55"/>
      <c r="E25" s="55" t="s">
        <v>22</v>
      </c>
      <c r="F25" s="55"/>
      <c r="G25" s="56"/>
    </row>
    <row r="26" spans="2:7" x14ac:dyDescent="0.25">
      <c r="B26" s="57" t="s">
        <v>23</v>
      </c>
      <c r="C26" s="58"/>
      <c r="D26" s="58"/>
      <c r="E26" s="59">
        <f>Aporte_mensal</f>
        <v>7000</v>
      </c>
      <c r="F26" s="59"/>
      <c r="G26" s="60"/>
    </row>
    <row r="27" spans="2:7" x14ac:dyDescent="0.25">
      <c r="B27" s="61"/>
      <c r="C27" s="62"/>
      <c r="D27" s="62"/>
      <c r="E27" s="62"/>
      <c r="F27" s="62"/>
      <c r="G27" s="60"/>
    </row>
    <row r="28" spans="2:7" x14ac:dyDescent="0.25">
      <c r="B28" s="63" t="s">
        <v>24</v>
      </c>
      <c r="C28" s="64"/>
      <c r="D28" s="64"/>
      <c r="E28" s="64" t="s">
        <v>27</v>
      </c>
      <c r="F28" s="64"/>
      <c r="G28" s="65" t="s">
        <v>21</v>
      </c>
    </row>
    <row r="29" spans="2:7" x14ac:dyDescent="0.25">
      <c r="B29" s="57" t="s">
        <v>25</v>
      </c>
      <c r="C29" s="58"/>
      <c r="D29" s="58"/>
      <c r="E29" s="66">
        <f>VLOOKUP($E$25&amp;"-"&amp;B29,'Configuracao _Perfil_Investidor'!A3:D9,4,FALSE)</f>
        <v>0.8</v>
      </c>
      <c r="F29" s="66"/>
      <c r="G29" s="67">
        <f>$E$26*E29</f>
        <v>5600</v>
      </c>
    </row>
    <row r="30" spans="2:7" x14ac:dyDescent="0.25">
      <c r="B30" s="57" t="s">
        <v>26</v>
      </c>
      <c r="C30" s="58"/>
      <c r="D30" s="58"/>
      <c r="E30" s="66">
        <f>VLOOKUP($E$25&amp;"-"&amp;B30,'Configuracao _Perfil_Investidor'!A4:D10,4,FALSE)</f>
        <v>0.2</v>
      </c>
      <c r="F30" s="66"/>
      <c r="G30" s="67">
        <f>$E$26*E30</f>
        <v>1400</v>
      </c>
    </row>
    <row r="31" spans="2:7" ht="15.75" thickBot="1" x14ac:dyDescent="0.3">
      <c r="B31" s="93" t="s">
        <v>44</v>
      </c>
      <c r="C31" s="94"/>
      <c r="D31" s="94"/>
      <c r="E31" s="95">
        <f>SUM(E29:F30)</f>
        <v>1</v>
      </c>
      <c r="F31" s="94"/>
      <c r="G31" s="68">
        <f>SUM(G29:G30)</f>
        <v>7000</v>
      </c>
    </row>
    <row r="32" spans="2:7" ht="15.75" thickBot="1" x14ac:dyDescent="0.3"/>
    <row r="33" spans="1:7" ht="15.75" x14ac:dyDescent="0.25">
      <c r="A33" s="7">
        <v>2</v>
      </c>
      <c r="B33" s="69" t="s">
        <v>41</v>
      </c>
      <c r="C33" s="70"/>
      <c r="D33" s="70"/>
      <c r="E33" s="70" t="str">
        <f>$E$25</f>
        <v>Conservador</v>
      </c>
      <c r="F33" s="70"/>
      <c r="G33" s="71"/>
    </row>
    <row r="34" spans="1:7" x14ac:dyDescent="0.25">
      <c r="A34" s="7">
        <v>5</v>
      </c>
      <c r="B34" s="72" t="s">
        <v>42</v>
      </c>
      <c r="C34" s="73"/>
      <c r="D34" s="73"/>
      <c r="E34" s="74">
        <v>1</v>
      </c>
      <c r="F34" s="74"/>
      <c r="G34" s="75"/>
    </row>
    <row r="35" spans="1:7" ht="15.75" thickBot="1" x14ac:dyDescent="0.3">
      <c r="A35" s="7">
        <v>10</v>
      </c>
      <c r="B35" s="76" t="s">
        <v>43</v>
      </c>
      <c r="C35" s="77"/>
      <c r="D35" s="77"/>
      <c r="E35" s="78">
        <f>$G$30*$E$34</f>
        <v>1400</v>
      </c>
      <c r="F35" s="78"/>
      <c r="G35" s="79"/>
    </row>
    <row r="36" spans="1:7" ht="15.75" thickBot="1" x14ac:dyDescent="0.3">
      <c r="A36" s="7">
        <v>20</v>
      </c>
      <c r="B36" s="37"/>
      <c r="C36" s="37"/>
      <c r="D36" s="37"/>
      <c r="E36" s="37"/>
      <c r="F36" s="37"/>
      <c r="G36" s="37"/>
    </row>
    <row r="37" spans="1:7" x14ac:dyDescent="0.25">
      <c r="A37" s="7">
        <v>30</v>
      </c>
      <c r="B37" s="80" t="s">
        <v>35</v>
      </c>
      <c r="C37" s="81"/>
      <c r="D37" s="81"/>
      <c r="E37" s="81" t="s">
        <v>27</v>
      </c>
      <c r="F37" s="81"/>
      <c r="G37" s="82" t="s">
        <v>21</v>
      </c>
    </row>
    <row r="38" spans="1:7" x14ac:dyDescent="0.25">
      <c r="B38" s="89" t="s">
        <v>36</v>
      </c>
      <c r="C38" s="90"/>
      <c r="D38" s="90"/>
      <c r="E38" s="84">
        <f>VLOOKUP($E$25&amp;"-"&amp;B38,'Configuracao _Perfil_Investidor'!$F$4:$I$18,4,FALSE)</f>
        <v>0.3</v>
      </c>
      <c r="F38" s="83"/>
      <c r="G38" s="87">
        <f>$E$35*E38</f>
        <v>420</v>
      </c>
    </row>
    <row r="39" spans="1:7" x14ac:dyDescent="0.25">
      <c r="B39" s="89" t="s">
        <v>37</v>
      </c>
      <c r="C39" s="90"/>
      <c r="D39" s="90"/>
      <c r="E39" s="84">
        <f>VLOOKUP($E$25&amp;"-"&amp;B39,'Configuracao _Perfil_Investidor'!$F$4:$I$18,4,FALSE)</f>
        <v>0.35</v>
      </c>
      <c r="F39" s="83"/>
      <c r="G39" s="87">
        <f>$E$35*E39</f>
        <v>489.99999999999994</v>
      </c>
    </row>
    <row r="40" spans="1:7" x14ac:dyDescent="0.25">
      <c r="B40" s="89" t="s">
        <v>38</v>
      </c>
      <c r="C40" s="90"/>
      <c r="D40" s="90"/>
      <c r="E40" s="84">
        <f>VLOOKUP($E$25&amp;"-"&amp;B40,'Configuracao _Perfil_Investidor'!$F$4:$I$18,4,FALSE)</f>
        <v>0.2</v>
      </c>
      <c r="F40" s="83"/>
      <c r="G40" s="87">
        <f>$E$35*E40</f>
        <v>280</v>
      </c>
    </row>
    <row r="41" spans="1:7" x14ac:dyDescent="0.25">
      <c r="B41" s="89" t="s">
        <v>39</v>
      </c>
      <c r="C41" s="90"/>
      <c r="D41" s="90"/>
      <c r="E41" s="84">
        <f>VLOOKUP($E$25&amp;"-"&amp;B41,'Configuracao _Perfil_Investidor'!$F$4:$I$18,4,FALSE)</f>
        <v>0</v>
      </c>
      <c r="F41" s="83"/>
      <c r="G41" s="87">
        <f>$E$35*E41</f>
        <v>0</v>
      </c>
    </row>
    <row r="42" spans="1:7" x14ac:dyDescent="0.25">
      <c r="B42" s="89" t="s">
        <v>40</v>
      </c>
      <c r="C42" s="90"/>
      <c r="D42" s="90"/>
      <c r="E42" s="84">
        <f>VLOOKUP($E$25&amp;"-"&amp;B42,'Configuracao _Perfil_Investidor'!$F$4:$I$18,4,FALSE)</f>
        <v>0.15</v>
      </c>
      <c r="F42" s="83"/>
      <c r="G42" s="87">
        <f>$E$35*E42</f>
        <v>210</v>
      </c>
    </row>
    <row r="43" spans="1:7" ht="15.75" thickBot="1" x14ac:dyDescent="0.3">
      <c r="B43" s="91" t="s">
        <v>44</v>
      </c>
      <c r="C43" s="92"/>
      <c r="D43" s="92"/>
      <c r="E43" s="86">
        <f>SUM(E38:E42)</f>
        <v>0.99999999999999989</v>
      </c>
      <c r="F43" s="85"/>
      <c r="G43" s="88">
        <f>SUM(G38:G42)</f>
        <v>1400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</sheetData>
  <mergeCells count="36">
    <mergeCell ref="B31:D31"/>
    <mergeCell ref="E31:F31"/>
    <mergeCell ref="B43:D43"/>
    <mergeCell ref="E43:F43"/>
    <mergeCell ref="B33:D33"/>
    <mergeCell ref="B34:D34"/>
    <mergeCell ref="B35:D35"/>
    <mergeCell ref="E33:F33"/>
    <mergeCell ref="E34:F34"/>
    <mergeCell ref="E35:F35"/>
    <mergeCell ref="B37:D37"/>
    <mergeCell ref="E37:F37"/>
    <mergeCell ref="B40:D40"/>
    <mergeCell ref="E40:F40"/>
    <mergeCell ref="B41:D41"/>
    <mergeCell ref="E41:F41"/>
    <mergeCell ref="B42:D42"/>
    <mergeCell ref="E42:F42"/>
    <mergeCell ref="B38:D38"/>
    <mergeCell ref="E38:F38"/>
    <mergeCell ref="B39:D39"/>
    <mergeCell ref="E39:F39"/>
    <mergeCell ref="E14:F14"/>
    <mergeCell ref="E13:F13"/>
    <mergeCell ref="E15:F15"/>
    <mergeCell ref="E16:F16"/>
    <mergeCell ref="E25:F25"/>
    <mergeCell ref="B29:D29"/>
    <mergeCell ref="B30:D30"/>
    <mergeCell ref="B26:D26"/>
    <mergeCell ref="B25:D25"/>
    <mergeCell ref="E26:F26"/>
    <mergeCell ref="B28:D28"/>
    <mergeCell ref="E28:F28"/>
    <mergeCell ref="E29:F29"/>
    <mergeCell ref="E30:F30"/>
  </mergeCells>
  <conditionalFormatting sqref="G38:G4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{88C8446B-4889-47A4-AFC5-3231D5503FA0}</x14:id>
        </ext>
      </extLst>
    </cfRule>
  </conditionalFormatting>
  <dataValidations count="3">
    <dataValidation type="list" allowBlank="1" showInputMessage="1" showErrorMessage="1" sqref="E25:F25" xr:uid="{5CB3384E-761C-4999-828C-E4EED1C358A6}">
      <formula1>"Conservador,Moderado,Agressivo"</formula1>
    </dataValidation>
    <dataValidation type="decimal" allowBlank="1" showInputMessage="1" showErrorMessage="1" errorTitle="Percentual inválido" error="Use um valor entre 0% e 100%." promptTitle="Parcela destinada a FIIs" prompt="Informe um percentual entre 0% e 100% da Renda Variável." sqref="E34" xr:uid="{D091F96C-4C68-4974-BFBD-9FF9A763EFCD}">
      <formula1>0</formula1>
      <formula2>1</formula2>
    </dataValidation>
    <dataValidation allowBlank="1" showInputMessage="1" showErrorMessage="1" promptTitle="Informe o aporte mensal" prompt="Digite o valor que pretende investir por mês. Se preferir, use a sugestão padrão ou a capacidade total de investimento, calculadas com base na renda e nas despesas informadas." sqref="C19" xr:uid="{8A6DA2F7-3C2E-482B-8188-4AB73D9591DE}"/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C8446B-4889-47A4-AFC5-3231D5503FA0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G38:G42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8DFA-337B-4D3E-88E7-4873F17B1CE4}">
  <dimension ref="A3:I18"/>
  <sheetViews>
    <sheetView workbookViewId="0">
      <selection activeCell="I9" sqref="I9"/>
    </sheetView>
  </sheetViews>
  <sheetFormatPr defaultRowHeight="15" x14ac:dyDescent="0.25"/>
  <cols>
    <col min="1" max="1" width="22.85546875" bestFit="1" customWidth="1"/>
    <col min="2" max="2" width="14.85546875" bestFit="1" customWidth="1"/>
    <col min="3" max="3" width="22.5703125" bestFit="1" customWidth="1"/>
    <col min="6" max="6" width="28.42578125" bestFit="1" customWidth="1"/>
    <col min="7" max="7" width="14.85546875" bestFit="1" customWidth="1"/>
    <col min="8" max="8" width="16.140625" bestFit="1" customWidth="1"/>
  </cols>
  <sheetData>
    <row r="3" spans="1:9" x14ac:dyDescent="0.25">
      <c r="A3" t="s">
        <v>32</v>
      </c>
      <c r="B3" t="s">
        <v>28</v>
      </c>
      <c r="C3" t="s">
        <v>24</v>
      </c>
      <c r="D3" s="25" t="s">
        <v>29</v>
      </c>
      <c r="F3" t="s">
        <v>32</v>
      </c>
      <c r="G3" t="s">
        <v>28</v>
      </c>
      <c r="H3" t="s">
        <v>35</v>
      </c>
      <c r="I3" s="25" t="s">
        <v>29</v>
      </c>
    </row>
    <row r="4" spans="1:9" x14ac:dyDescent="0.25">
      <c r="A4" s="26" t="str">
        <f>B4&amp;"-"&amp;C4</f>
        <v>Conservador-Renda Fixa</v>
      </c>
      <c r="B4" s="26" t="s">
        <v>22</v>
      </c>
      <c r="C4" s="26" t="s">
        <v>25</v>
      </c>
      <c r="D4" s="27">
        <v>0.8</v>
      </c>
      <c r="F4" s="26" t="str">
        <f>G4&amp;"-"&amp;H4</f>
        <v>Conservador-Tijolo</v>
      </c>
      <c r="G4" s="26" t="s">
        <v>22</v>
      </c>
      <c r="H4" s="33" t="s">
        <v>36</v>
      </c>
      <c r="I4" s="34">
        <v>0.3</v>
      </c>
    </row>
    <row r="5" spans="1:9" x14ac:dyDescent="0.25">
      <c r="A5" t="str">
        <f t="shared" ref="A5:A9" si="0">B5&amp;"-"&amp;C5</f>
        <v>Conservador-Renda Variável</v>
      </c>
      <c r="B5" t="s">
        <v>22</v>
      </c>
      <c r="C5" t="s">
        <v>26</v>
      </c>
      <c r="D5" s="24">
        <v>0.2</v>
      </c>
      <c r="F5" t="str">
        <f t="shared" ref="F5:F18" si="1">G5&amp;"-"&amp;H5</f>
        <v>Conservador-Papel</v>
      </c>
      <c r="G5" t="s">
        <v>22</v>
      </c>
      <c r="H5" s="32" t="s">
        <v>37</v>
      </c>
      <c r="I5" s="30">
        <v>0.35</v>
      </c>
    </row>
    <row r="6" spans="1:9" x14ac:dyDescent="0.25">
      <c r="A6" s="26" t="str">
        <f t="shared" si="0"/>
        <v>Moderado-Renda Fixa</v>
      </c>
      <c r="B6" s="26" t="s">
        <v>30</v>
      </c>
      <c r="C6" s="26" t="s">
        <v>25</v>
      </c>
      <c r="D6" s="27">
        <v>0.6</v>
      </c>
      <c r="F6" t="str">
        <f t="shared" si="1"/>
        <v>Conservador-FOFs</v>
      </c>
      <c r="G6" t="s">
        <v>22</v>
      </c>
      <c r="H6" s="31" t="s">
        <v>38</v>
      </c>
      <c r="I6" s="30">
        <v>0.2</v>
      </c>
    </row>
    <row r="7" spans="1:9" x14ac:dyDescent="0.25">
      <c r="A7" t="str">
        <f t="shared" si="0"/>
        <v>Moderado-Renda Variável</v>
      </c>
      <c r="B7" t="s">
        <v>30</v>
      </c>
      <c r="C7" t="s">
        <v>26</v>
      </c>
      <c r="D7" s="24">
        <v>0.4</v>
      </c>
      <c r="F7" t="str">
        <f t="shared" si="1"/>
        <v>Conservador-Desenvolvimento</v>
      </c>
      <c r="G7" t="s">
        <v>22</v>
      </c>
      <c r="H7" s="31" t="s">
        <v>39</v>
      </c>
      <c r="I7" s="30">
        <v>0</v>
      </c>
    </row>
    <row r="8" spans="1:9" x14ac:dyDescent="0.25">
      <c r="A8" s="26" t="str">
        <f t="shared" si="0"/>
        <v>Agressivo-Renda Fixa</v>
      </c>
      <c r="B8" s="26" t="s">
        <v>31</v>
      </c>
      <c r="C8" s="26" t="s">
        <v>25</v>
      </c>
      <c r="D8" s="27">
        <v>0.5</v>
      </c>
      <c r="F8" t="str">
        <f t="shared" si="1"/>
        <v>Conservador-Híbrido</v>
      </c>
      <c r="G8" t="s">
        <v>22</v>
      </c>
      <c r="H8" s="31" t="s">
        <v>40</v>
      </c>
      <c r="I8" s="30">
        <v>0.15</v>
      </c>
    </row>
    <row r="9" spans="1:9" x14ac:dyDescent="0.25">
      <c r="A9" t="str">
        <f t="shared" si="0"/>
        <v>Agressivo-Renda Variável</v>
      </c>
      <c r="B9" t="s">
        <v>31</v>
      </c>
      <c r="C9" t="s">
        <v>26</v>
      </c>
      <c r="D9" s="24">
        <v>0.5</v>
      </c>
      <c r="F9" s="26" t="str">
        <f t="shared" si="1"/>
        <v>Moderado-Tijolo</v>
      </c>
      <c r="G9" s="26" t="s">
        <v>30</v>
      </c>
      <c r="H9" s="33" t="s">
        <v>36</v>
      </c>
      <c r="I9" s="34">
        <v>0.35</v>
      </c>
    </row>
    <row r="10" spans="1:9" x14ac:dyDescent="0.25">
      <c r="F10" t="str">
        <f t="shared" si="1"/>
        <v>Moderado-Papel</v>
      </c>
      <c r="G10" t="s">
        <v>30</v>
      </c>
      <c r="H10" s="32" t="s">
        <v>37</v>
      </c>
      <c r="I10" s="30">
        <v>0.3</v>
      </c>
    </row>
    <row r="11" spans="1:9" x14ac:dyDescent="0.25">
      <c r="F11" t="str">
        <f t="shared" si="1"/>
        <v>Moderado-FOFs</v>
      </c>
      <c r="G11" t="s">
        <v>30</v>
      </c>
      <c r="H11" s="31" t="s">
        <v>38</v>
      </c>
      <c r="I11" s="30">
        <v>0.15</v>
      </c>
    </row>
    <row r="12" spans="1:9" x14ac:dyDescent="0.25">
      <c r="F12" t="str">
        <f t="shared" si="1"/>
        <v>Moderado-Desenvolvimento</v>
      </c>
      <c r="G12" t="s">
        <v>30</v>
      </c>
      <c r="H12" s="31" t="s">
        <v>39</v>
      </c>
      <c r="I12" s="30">
        <v>0.05</v>
      </c>
    </row>
    <row r="13" spans="1:9" x14ac:dyDescent="0.25">
      <c r="F13" t="str">
        <f t="shared" si="1"/>
        <v>Moderado-Híbrido</v>
      </c>
      <c r="G13" t="s">
        <v>30</v>
      </c>
      <c r="H13" s="31" t="s">
        <v>40</v>
      </c>
      <c r="I13" s="30">
        <v>0.15</v>
      </c>
    </row>
    <row r="14" spans="1:9" x14ac:dyDescent="0.25">
      <c r="F14" s="26" t="str">
        <f t="shared" si="1"/>
        <v>Agressivo-Tijolo</v>
      </c>
      <c r="G14" s="26" t="s">
        <v>31</v>
      </c>
      <c r="H14" s="33" t="s">
        <v>36</v>
      </c>
      <c r="I14" s="34">
        <v>0.35</v>
      </c>
    </row>
    <row r="15" spans="1:9" x14ac:dyDescent="0.25">
      <c r="F15" t="str">
        <f t="shared" si="1"/>
        <v>Agressivo-Papel</v>
      </c>
      <c r="G15" t="s">
        <v>31</v>
      </c>
      <c r="H15" s="32" t="s">
        <v>37</v>
      </c>
      <c r="I15" s="30">
        <v>0.2</v>
      </c>
    </row>
    <row r="16" spans="1:9" x14ac:dyDescent="0.25">
      <c r="F16" t="str">
        <f t="shared" si="1"/>
        <v>Agressivo-FOFs</v>
      </c>
      <c r="G16" t="s">
        <v>31</v>
      </c>
      <c r="H16" s="31" t="s">
        <v>38</v>
      </c>
      <c r="I16" s="30">
        <v>0.1</v>
      </c>
    </row>
    <row r="17" spans="6:9" x14ac:dyDescent="0.25">
      <c r="F17" t="str">
        <f t="shared" si="1"/>
        <v>Agressivo-Desenvolvimento</v>
      </c>
      <c r="G17" t="s">
        <v>31</v>
      </c>
      <c r="H17" s="31" t="s">
        <v>39</v>
      </c>
      <c r="I17" s="30">
        <v>0.2</v>
      </c>
    </row>
    <row r="18" spans="6:9" x14ac:dyDescent="0.25">
      <c r="F18" t="str">
        <f t="shared" si="1"/>
        <v>Agressivo-Híbrido</v>
      </c>
      <c r="G18" t="s">
        <v>31</v>
      </c>
      <c r="H18" s="31" t="s">
        <v>40</v>
      </c>
      <c r="I18" s="30">
        <v>0.15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5EF5-3330-47DB-A348-CA080EDAE463}">
  <dimension ref="A1:E6"/>
  <sheetViews>
    <sheetView workbookViewId="0">
      <selection activeCell="E2" sqref="E2:E6"/>
    </sheetView>
  </sheetViews>
  <sheetFormatPr defaultRowHeight="15" x14ac:dyDescent="0.25"/>
  <cols>
    <col min="1" max="1" width="14.28515625" bestFit="1" customWidth="1"/>
    <col min="4" max="4" width="16.140625" bestFit="1" customWidth="1"/>
    <col min="5" max="5" width="22.140625" bestFit="1" customWidth="1"/>
  </cols>
  <sheetData>
    <row r="1" spans="1:5" x14ac:dyDescent="0.25">
      <c r="A1" t="s">
        <v>33</v>
      </c>
      <c r="B1" t="s">
        <v>34</v>
      </c>
      <c r="D1" t="s">
        <v>35</v>
      </c>
      <c r="E1" t="s">
        <v>27</v>
      </c>
    </row>
    <row r="2" spans="1:5" x14ac:dyDescent="0.25">
      <c r="A2" t="str">
        <f>Predix!B29</f>
        <v>Renda Fixa</v>
      </c>
      <c r="B2" s="30">
        <f>Predix!E29</f>
        <v>0.8</v>
      </c>
      <c r="D2" t="s">
        <v>36</v>
      </c>
      <c r="E2" s="23">
        <v>0.3</v>
      </c>
    </row>
    <row r="3" spans="1:5" x14ac:dyDescent="0.25">
      <c r="A3" t="str">
        <f>Predix!B30</f>
        <v>Renda Variável</v>
      </c>
      <c r="B3" s="30">
        <f>Predix!E30</f>
        <v>0.2</v>
      </c>
      <c r="D3" t="s">
        <v>37</v>
      </c>
      <c r="E3" s="23">
        <v>0.35</v>
      </c>
    </row>
    <row r="4" spans="1:5" x14ac:dyDescent="0.25">
      <c r="D4" t="s">
        <v>38</v>
      </c>
      <c r="E4" s="23">
        <v>0.2</v>
      </c>
    </row>
    <row r="5" spans="1:5" x14ac:dyDescent="0.25">
      <c r="D5" t="s">
        <v>39</v>
      </c>
      <c r="E5" s="23">
        <v>0</v>
      </c>
    </row>
    <row r="6" spans="1:5" x14ac:dyDescent="0.25">
      <c r="D6" t="s">
        <v>40</v>
      </c>
      <c r="E6" s="23">
        <v>0.15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8</vt:i4>
      </vt:variant>
    </vt:vector>
  </HeadingPairs>
  <TitlesOfParts>
    <vt:vector size="11" baseType="lpstr">
      <vt:lpstr>Predix</vt:lpstr>
      <vt:lpstr>Configuracao _Perfil_Investidor</vt:lpstr>
      <vt:lpstr>Grafico_Alocacao_dados</vt:lpstr>
      <vt:lpstr>Aporte_mensal</vt:lpstr>
      <vt:lpstr>Capacidade_Total_Investimento</vt:lpstr>
      <vt:lpstr>Despesas</vt:lpstr>
      <vt:lpstr>Dividendos_carteira</vt:lpstr>
      <vt:lpstr>Patrimonio</vt:lpstr>
      <vt:lpstr>qtd_anos</vt:lpstr>
      <vt:lpstr>Renda_total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Domingos</dc:creator>
  <cp:lastModifiedBy>William Domingos</cp:lastModifiedBy>
  <dcterms:created xsi:type="dcterms:W3CDTF">2026-09-14T19:11:05Z</dcterms:created>
  <dcterms:modified xsi:type="dcterms:W3CDTF">2026-09-16T17:53:26Z</dcterms:modified>
</cp:coreProperties>
</file>